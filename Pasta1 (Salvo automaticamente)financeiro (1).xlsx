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GNI\Desktop\"/>
    </mc:Choice>
  </mc:AlternateContent>
  <bookViews>
    <workbookView xWindow="0" yWindow="0" windowWidth="14370" windowHeight="7635" activeTab="1"/>
  </bookViews>
  <sheets>
    <sheet name="AGOSTO" sheetId="3" r:id="rId1"/>
    <sheet name="SETEMBRO" sheetId="4" r:id="rId2"/>
    <sheet name="OUTUBRO" sheetId="5" r:id="rId3"/>
    <sheet name="NOVEMBRO" sheetId="6" r:id="rId4"/>
    <sheet name="DEZEMBRO" sheetId="7" r:id="rId5"/>
    <sheet name="VARIÁVEIS" sheetId="8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4" l="1"/>
  <c r="F23" i="3"/>
  <c r="C24" i="3"/>
  <c r="C12" i="3"/>
  <c r="F9" i="3"/>
  <c r="F9" i="5"/>
  <c r="C24" i="7"/>
  <c r="C12" i="7"/>
  <c r="F9" i="7"/>
  <c r="F11" i="7" s="1"/>
  <c r="C24" i="6"/>
  <c r="C12" i="6"/>
  <c r="F11" i="6"/>
  <c r="C24" i="5"/>
  <c r="C12" i="5"/>
  <c r="F11" i="5"/>
  <c r="C24" i="4"/>
  <c r="C12" i="4"/>
  <c r="F9" i="4"/>
  <c r="F11" i="4" l="1"/>
</calcChain>
</file>

<file path=xl/sharedStrings.xml><?xml version="1.0" encoding="utf-8"?>
<sst xmlns="http://schemas.openxmlformats.org/spreadsheetml/2006/main" count="217" uniqueCount="78">
  <si>
    <t>vivo + netflix</t>
  </si>
  <si>
    <t>estacionamento</t>
  </si>
  <si>
    <t>gasolina</t>
  </si>
  <si>
    <t>sem parar</t>
  </si>
  <si>
    <t>lava-rápido</t>
  </si>
  <si>
    <t>plano de saúde cachorros</t>
  </si>
  <si>
    <t>ração</t>
  </si>
  <si>
    <t>academia</t>
  </si>
  <si>
    <t>sobrancelha</t>
  </si>
  <si>
    <t>terapia</t>
  </si>
  <si>
    <t>remédios</t>
  </si>
  <si>
    <t>manicure</t>
  </si>
  <si>
    <t>icloud</t>
  </si>
  <si>
    <t>spotify</t>
  </si>
  <si>
    <t>cartão</t>
  </si>
  <si>
    <t>faxina</t>
  </si>
  <si>
    <t>96x</t>
  </si>
  <si>
    <t>nucel</t>
  </si>
  <si>
    <t>GASTOS VARIÁVEIS</t>
  </si>
  <si>
    <t>CRMV</t>
  </si>
  <si>
    <t>vacinas</t>
  </si>
  <si>
    <t>DÍVIDAS</t>
  </si>
  <si>
    <t>seguro do carro</t>
  </si>
  <si>
    <t>antecipadas</t>
  </si>
  <si>
    <t>parcelamento</t>
  </si>
  <si>
    <t>emprestado</t>
  </si>
  <si>
    <t>parcela</t>
  </si>
  <si>
    <t>pagas/pago</t>
  </si>
  <si>
    <t>consignado (holerite)</t>
  </si>
  <si>
    <t>seguro consignado (débito)</t>
  </si>
  <si>
    <t>cirurgia Marrone</t>
  </si>
  <si>
    <t>remédios cachorros</t>
  </si>
  <si>
    <t>vermífugo e antipulgas</t>
  </si>
  <si>
    <t xml:space="preserve">cirurgia Matilde </t>
  </si>
  <si>
    <t>valor</t>
  </si>
  <si>
    <t>frequência</t>
  </si>
  <si>
    <t>mensal</t>
  </si>
  <si>
    <t>2 meses</t>
  </si>
  <si>
    <t>3 meses</t>
  </si>
  <si>
    <t>6 meses</t>
  </si>
  <si>
    <t>anual</t>
  </si>
  <si>
    <t>única</t>
  </si>
  <si>
    <t>45 dias</t>
  </si>
  <si>
    <t>28</t>
  </si>
  <si>
    <t>03</t>
  </si>
  <si>
    <t>Cida</t>
  </si>
  <si>
    <t>TOTAL</t>
  </si>
  <si>
    <t>NÃO ESSENCIAL</t>
  </si>
  <si>
    <t>Lazer</t>
  </si>
  <si>
    <t>SALÁRIO</t>
  </si>
  <si>
    <t>DEJEM/DELEGADA</t>
  </si>
  <si>
    <t>ENTRADA</t>
  </si>
  <si>
    <t>SOBRA</t>
  </si>
  <si>
    <t>SETEMBRO</t>
  </si>
  <si>
    <t>DISTRIBUIÇÃO DA SOBRA</t>
  </si>
  <si>
    <t xml:space="preserve">Consignado </t>
  </si>
  <si>
    <t xml:space="preserve">Reserva de Emergência </t>
  </si>
  <si>
    <t>Viagem</t>
  </si>
  <si>
    <t xml:space="preserve">Cartão </t>
  </si>
  <si>
    <t>ESSENCIAL</t>
  </si>
  <si>
    <t>-</t>
  </si>
  <si>
    <t>OUTUBRO</t>
  </si>
  <si>
    <t>NOVEMBRO</t>
  </si>
  <si>
    <t>DEZEMBRO</t>
  </si>
  <si>
    <t xml:space="preserve">AGOSTO </t>
  </si>
  <si>
    <t>Retorno oftalmo</t>
  </si>
  <si>
    <t>Procedimento</t>
  </si>
  <si>
    <t>Lentes</t>
  </si>
  <si>
    <t>Medicação</t>
  </si>
  <si>
    <t>Anestesia</t>
  </si>
  <si>
    <t>Meia Internação</t>
  </si>
  <si>
    <t>Exames de Sangue</t>
  </si>
  <si>
    <t>Reserva para Cirurgia</t>
  </si>
  <si>
    <t>Manicure</t>
  </si>
  <si>
    <t>Sobrancelha</t>
  </si>
  <si>
    <t>Lava-rápido</t>
  </si>
  <si>
    <t>Estacionamento</t>
  </si>
  <si>
    <t>Cirurgia Marrone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</si>
</sst>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4" xfId="0" applyBorder="1"/>
    <xf numFmtId="0" fontId="0" fillId="0" borderId="7" xfId="0" applyBorder="1"/>
    <xf numFmtId="164" fontId="0" fillId="0" borderId="0" xfId="0" applyNumberFormat="1" applyBorder="1"/>
    <xf numFmtId="49" fontId="0" fillId="0" borderId="0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164" fontId="0" fillId="0" borderId="10" xfId="0" applyNumberFormat="1" applyBorder="1"/>
    <xf numFmtId="49" fontId="0" fillId="0" borderId="10" xfId="0" applyNumberFormat="1" applyBorder="1" applyAlignment="1">
      <alignment horizontal="center"/>
    </xf>
    <xf numFmtId="0" fontId="0" fillId="0" borderId="11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Fill="1" applyBorder="1"/>
    <xf numFmtId="164" fontId="0" fillId="0" borderId="0" xfId="0" applyNumberFormat="1" applyFill="1" applyBorder="1"/>
    <xf numFmtId="49" fontId="0" fillId="0" borderId="0" xfId="0" applyNumberFormat="1" applyFill="1" applyBorder="1" applyAlignment="1">
      <alignment horizontal="center"/>
    </xf>
    <xf numFmtId="49" fontId="0" fillId="0" borderId="8" xfId="0" applyNumberFormat="1" applyFill="1" applyBorder="1" applyAlignment="1">
      <alignment horizontal="center"/>
    </xf>
    <xf numFmtId="0" fontId="1" fillId="0" borderId="7" xfId="0" applyFont="1" applyFill="1" applyBorder="1"/>
    <xf numFmtId="0" fontId="0" fillId="0" borderId="0" xfId="0" applyBorder="1"/>
    <xf numFmtId="49" fontId="2" fillId="0" borderId="0" xfId="0" applyNumberFormat="1" applyFont="1" applyAlignment="1"/>
    <xf numFmtId="49" fontId="4" fillId="0" borderId="0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0" fontId="1" fillId="0" borderId="0" xfId="0" applyFont="1" applyBorder="1"/>
    <xf numFmtId="0" fontId="0" fillId="0" borderId="0" xfId="0" applyBorder="1" applyAlignment="1">
      <alignment horizontal="left"/>
    </xf>
    <xf numFmtId="164" fontId="0" fillId="0" borderId="0" xfId="0" applyNumberFormat="1" applyBorder="1" applyAlignment="1">
      <alignment horizontal="right"/>
    </xf>
    <xf numFmtId="164" fontId="0" fillId="0" borderId="0" xfId="0" applyNumberFormat="1" applyBorder="1" applyAlignment="1">
      <alignment horizontal="left"/>
    </xf>
    <xf numFmtId="164" fontId="0" fillId="0" borderId="0" xfId="0" applyNumberFormat="1" applyBorder="1" applyAlignment="1">
      <alignment horizontal="center"/>
    </xf>
    <xf numFmtId="164" fontId="1" fillId="0" borderId="0" xfId="0" applyNumberFormat="1" applyFont="1" applyBorder="1"/>
    <xf numFmtId="0" fontId="0" fillId="0" borderId="10" xfId="0" applyBorder="1"/>
    <xf numFmtId="49" fontId="4" fillId="0" borderId="0" xfId="0" applyNumberFormat="1" applyFont="1" applyBorder="1" applyAlignment="1"/>
    <xf numFmtId="9" fontId="0" fillId="0" borderId="8" xfId="0" applyNumberFormat="1" applyBorder="1" applyAlignment="1">
      <alignment horizontal="right"/>
    </xf>
    <xf numFmtId="9" fontId="0" fillId="0" borderId="8" xfId="0" applyNumberFormat="1" applyBorder="1"/>
    <xf numFmtId="0" fontId="1" fillId="0" borderId="1" xfId="0" applyFont="1" applyBorder="1"/>
    <xf numFmtId="164" fontId="0" fillId="0" borderId="3" xfId="0" applyNumberFormat="1" applyBorder="1"/>
    <xf numFmtId="164" fontId="0" fillId="0" borderId="0" xfId="0" applyNumberFormat="1" applyFont="1" applyFill="1" applyBorder="1" applyAlignment="1">
      <alignment horizontal="left"/>
    </xf>
    <xf numFmtId="4" fontId="0" fillId="0" borderId="0" xfId="0" applyNumberFormat="1" applyFont="1" applyBorder="1" applyAlignment="1"/>
    <xf numFmtId="4" fontId="0" fillId="0" borderId="0" xfId="0" applyNumberFormat="1" applyFont="1" applyAlignment="1"/>
    <xf numFmtId="4" fontId="1" fillId="0" borderId="0" xfId="0" applyNumberFormat="1" applyFont="1" applyBorder="1"/>
    <xf numFmtId="164" fontId="0" fillId="0" borderId="4" xfId="0" applyNumberFormat="1" applyBorder="1" applyAlignment="1">
      <alignment horizontal="left" vertical="center"/>
    </xf>
    <xf numFmtId="164" fontId="0" fillId="0" borderId="6" xfId="0" applyNumberFormat="1" applyBorder="1" applyAlignment="1">
      <alignment horizontal="right" vertical="center"/>
    </xf>
    <xf numFmtId="164" fontId="0" fillId="0" borderId="7" xfId="0" applyNumberFormat="1" applyBorder="1" applyAlignment="1">
      <alignment horizontal="left" vertical="center"/>
    </xf>
    <xf numFmtId="164" fontId="0" fillId="0" borderId="8" xfId="0" applyNumberFormat="1" applyBorder="1" applyAlignment="1">
      <alignment horizontal="right" vertical="center"/>
    </xf>
    <xf numFmtId="0" fontId="0" fillId="0" borderId="7" xfId="0" applyBorder="1" applyAlignment="1">
      <alignment horizontal="left" vertical="center"/>
    </xf>
    <xf numFmtId="164" fontId="0" fillId="0" borderId="8" xfId="0" applyNumberFormat="1" applyFont="1" applyBorder="1" applyAlignment="1">
      <alignment horizontal="right" vertical="center"/>
    </xf>
    <xf numFmtId="0" fontId="0" fillId="0" borderId="9" xfId="0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workbookViewId="0">
      <selection activeCell="L29" sqref="L29"/>
    </sheetView>
  </sheetViews>
  <sheetFormatPr defaultRowHeight="15" x14ac:dyDescent="0.25"/>
  <cols>
    <col min="2" max="2" width="23.7109375" bestFit="1" customWidth="1"/>
    <col min="3" max="3" width="13.28515625" customWidth="1"/>
    <col min="5" max="5" width="22.28515625" bestFit="1" customWidth="1"/>
    <col min="6" max="6" width="12.140625" customWidth="1"/>
    <col min="7" max="7" width="6.42578125" customWidth="1"/>
    <col min="14" max="14" width="10.7109375" bestFit="1" customWidth="1"/>
  </cols>
  <sheetData>
    <row r="1" spans="2:10" ht="15.75" thickBot="1" x14ac:dyDescent="0.3"/>
    <row r="2" spans="2:10" ht="21.75" thickBot="1" x14ac:dyDescent="0.4">
      <c r="B2" s="58" t="s">
        <v>64</v>
      </c>
      <c r="C2" s="59"/>
      <c r="D2" s="59"/>
      <c r="E2" s="59"/>
      <c r="F2" s="59"/>
      <c r="G2" s="60"/>
      <c r="H2" s="38"/>
      <c r="I2" s="27"/>
      <c r="J2" s="27"/>
    </row>
    <row r="3" spans="2:10" ht="15" customHeight="1" thickBot="1" x14ac:dyDescent="0.4">
      <c r="B3" s="29"/>
      <c r="C3" s="28"/>
      <c r="D3" s="28"/>
      <c r="E3" s="28"/>
      <c r="F3" s="28"/>
      <c r="G3" s="30"/>
      <c r="H3" s="28"/>
      <c r="I3" s="27"/>
      <c r="J3" s="27"/>
    </row>
    <row r="4" spans="2:10" ht="15" customHeight="1" thickBot="1" x14ac:dyDescent="0.3">
      <c r="B4" s="55" t="s">
        <v>59</v>
      </c>
      <c r="C4" s="57"/>
      <c r="D4" s="26"/>
      <c r="E4" s="26"/>
      <c r="F4" s="26"/>
      <c r="G4" s="7"/>
    </row>
    <row r="5" spans="2:10" ht="15" customHeight="1" thickBot="1" x14ac:dyDescent="0.3">
      <c r="B5" s="4" t="s">
        <v>0</v>
      </c>
      <c r="C5" s="5">
        <v>75</v>
      </c>
      <c r="D5" s="26"/>
      <c r="E5" s="26"/>
      <c r="F5" s="26"/>
      <c r="G5" s="7"/>
    </row>
    <row r="6" spans="2:10" ht="15" customHeight="1" thickBot="1" x14ac:dyDescent="0.3">
      <c r="B6" s="4" t="s">
        <v>17</v>
      </c>
      <c r="C6" s="5">
        <v>45</v>
      </c>
      <c r="D6" s="26"/>
      <c r="E6" s="55" t="s">
        <v>51</v>
      </c>
      <c r="F6" s="57"/>
      <c r="G6" s="7"/>
    </row>
    <row r="7" spans="2:10" ht="15" customHeight="1" x14ac:dyDescent="0.25">
      <c r="B7" s="4" t="s">
        <v>22</v>
      </c>
      <c r="C7" s="5">
        <v>249.2</v>
      </c>
      <c r="D7" s="26"/>
      <c r="E7" s="26" t="s">
        <v>49</v>
      </c>
      <c r="F7" s="5"/>
      <c r="G7" s="7"/>
    </row>
    <row r="8" spans="2:10" ht="15" customHeight="1" x14ac:dyDescent="0.25">
      <c r="B8" s="4" t="s">
        <v>5</v>
      </c>
      <c r="C8" s="5">
        <v>553.23</v>
      </c>
      <c r="D8" s="26"/>
      <c r="E8" s="26" t="s">
        <v>50</v>
      </c>
      <c r="F8" s="5"/>
      <c r="G8" s="7"/>
    </row>
    <row r="9" spans="2:10" ht="15" customHeight="1" x14ac:dyDescent="0.25">
      <c r="B9" s="4" t="s">
        <v>9</v>
      </c>
      <c r="C9" s="5">
        <v>440</v>
      </c>
      <c r="D9" s="26"/>
      <c r="E9" s="31" t="s">
        <v>46</v>
      </c>
      <c r="F9" s="5">
        <f>SUM(F7:F8)</f>
        <v>0</v>
      </c>
      <c r="G9" s="7"/>
    </row>
    <row r="10" spans="2:10" ht="15" customHeight="1" thickBot="1" x14ac:dyDescent="0.3">
      <c r="B10" s="4" t="s">
        <v>2</v>
      </c>
      <c r="C10" s="5">
        <v>500</v>
      </c>
      <c r="D10" s="26"/>
      <c r="E10" s="26"/>
      <c r="F10" s="26"/>
      <c r="G10" s="7"/>
    </row>
    <row r="11" spans="2:10" ht="15" customHeight="1" thickBot="1" x14ac:dyDescent="0.3">
      <c r="B11" s="4" t="s">
        <v>15</v>
      </c>
      <c r="C11" s="5">
        <v>270</v>
      </c>
      <c r="D11" s="26"/>
      <c r="E11" s="41" t="s">
        <v>52</v>
      </c>
      <c r="F11" s="42">
        <v>1400</v>
      </c>
      <c r="G11" s="7"/>
    </row>
    <row r="12" spans="2:10" ht="15" customHeight="1" x14ac:dyDescent="0.25">
      <c r="B12" s="25" t="s">
        <v>46</v>
      </c>
      <c r="C12" s="5">
        <f>SUM(C5:C11)</f>
        <v>2132.4300000000003</v>
      </c>
      <c r="D12" s="26"/>
      <c r="E12" s="26"/>
      <c r="F12" s="26"/>
      <c r="G12" s="7"/>
    </row>
    <row r="13" spans="2:10" ht="15" customHeight="1" thickBot="1" x14ac:dyDescent="0.3">
      <c r="B13" s="4"/>
      <c r="C13" s="26"/>
      <c r="D13" s="5"/>
      <c r="E13" s="26"/>
      <c r="F13" s="26"/>
      <c r="G13" s="7"/>
    </row>
    <row r="14" spans="2:10" ht="15" customHeight="1" thickBot="1" x14ac:dyDescent="0.3">
      <c r="B14" s="4"/>
      <c r="C14" s="26"/>
      <c r="D14" s="26"/>
      <c r="E14" s="55" t="s">
        <v>54</v>
      </c>
      <c r="F14" s="56"/>
      <c r="G14" s="57"/>
    </row>
    <row r="15" spans="2:10" ht="15" customHeight="1" thickBot="1" x14ac:dyDescent="0.3">
      <c r="B15" s="55" t="s">
        <v>47</v>
      </c>
      <c r="C15" s="57"/>
      <c r="D15" s="19"/>
      <c r="E15" s="32" t="s">
        <v>65</v>
      </c>
      <c r="F15" s="44">
        <v>50</v>
      </c>
      <c r="G15" s="39"/>
    </row>
    <row r="16" spans="2:10" ht="15" customHeight="1" x14ac:dyDescent="0.25">
      <c r="B16" s="4" t="s">
        <v>1</v>
      </c>
      <c r="C16" s="5">
        <v>350</v>
      </c>
      <c r="D16" s="6"/>
      <c r="E16" s="34" t="s">
        <v>71</v>
      </c>
      <c r="F16" s="44">
        <v>150</v>
      </c>
      <c r="G16" s="39"/>
    </row>
    <row r="17" spans="2:7" ht="15" customHeight="1" x14ac:dyDescent="0.25">
      <c r="B17" s="4" t="s">
        <v>4</v>
      </c>
      <c r="C17" s="5">
        <v>50</v>
      </c>
      <c r="D17" s="6"/>
      <c r="E17" t="s">
        <v>48</v>
      </c>
      <c r="F17" s="45">
        <v>600</v>
      </c>
      <c r="G17" s="40"/>
    </row>
    <row r="18" spans="2:7" ht="15" customHeight="1" x14ac:dyDescent="0.25">
      <c r="B18" s="4" t="s">
        <v>7</v>
      </c>
      <c r="C18" s="5">
        <v>89.9</v>
      </c>
      <c r="D18" s="6"/>
      <c r="E18" t="s">
        <v>72</v>
      </c>
      <c r="F18" s="45">
        <v>250</v>
      </c>
      <c r="G18" s="20"/>
    </row>
    <row r="19" spans="2:7" ht="15" customHeight="1" x14ac:dyDescent="0.25">
      <c r="B19" s="4" t="s">
        <v>11</v>
      </c>
      <c r="C19" s="5">
        <v>55</v>
      </c>
      <c r="D19" s="26"/>
      <c r="E19" t="s">
        <v>73</v>
      </c>
      <c r="F19" s="45">
        <v>55</v>
      </c>
      <c r="G19" s="20"/>
    </row>
    <row r="20" spans="2:7" ht="15" customHeight="1" x14ac:dyDescent="0.25">
      <c r="B20" s="4" t="s">
        <v>8</v>
      </c>
      <c r="C20" s="5">
        <v>50</v>
      </c>
      <c r="D20" s="26"/>
      <c r="E20" t="s">
        <v>74</v>
      </c>
      <c r="F20" s="45">
        <v>50</v>
      </c>
      <c r="G20" s="7"/>
    </row>
    <row r="21" spans="2:7" ht="15" customHeight="1" x14ac:dyDescent="0.25">
      <c r="B21" s="4" t="s">
        <v>12</v>
      </c>
      <c r="C21" s="5">
        <v>19.899999999999999</v>
      </c>
      <c r="D21" s="26"/>
      <c r="E21" t="s">
        <v>75</v>
      </c>
      <c r="F21" s="45">
        <v>50</v>
      </c>
      <c r="G21" s="7"/>
    </row>
    <row r="22" spans="2:7" ht="15" customHeight="1" x14ac:dyDescent="0.25">
      <c r="B22" s="4" t="s">
        <v>13</v>
      </c>
      <c r="C22" s="5">
        <v>11.9</v>
      </c>
      <c r="D22" s="26"/>
      <c r="E22" s="43" t="s">
        <v>76</v>
      </c>
      <c r="F22" s="44">
        <v>150</v>
      </c>
      <c r="G22" s="7"/>
    </row>
    <row r="23" spans="2:7" ht="15" customHeight="1" x14ac:dyDescent="0.25">
      <c r="B23" s="4" t="s">
        <v>48</v>
      </c>
      <c r="C23" s="5">
        <v>800</v>
      </c>
      <c r="D23" s="26"/>
      <c r="E23" s="26"/>
      <c r="F23" s="46">
        <f>SUM(F15:F22)</f>
        <v>1355</v>
      </c>
      <c r="G23" s="7"/>
    </row>
    <row r="24" spans="2:7" ht="15" customHeight="1" x14ac:dyDescent="0.25">
      <c r="B24" s="25" t="s">
        <v>46</v>
      </c>
      <c r="C24" s="5">
        <f>SUM(C16:C23)</f>
        <v>1426.6999999999998</v>
      </c>
      <c r="D24" s="26"/>
      <c r="E24" s="26"/>
      <c r="F24" s="26"/>
      <c r="G24" s="7"/>
    </row>
    <row r="25" spans="2:7" ht="15.75" thickBot="1" x14ac:dyDescent="0.3">
      <c r="B25" s="8"/>
      <c r="C25" s="37"/>
      <c r="D25" s="37"/>
      <c r="E25" s="37"/>
      <c r="F25" s="37"/>
      <c r="G25" s="11"/>
    </row>
  </sheetData>
  <mergeCells count="5">
    <mergeCell ref="E14:G14"/>
    <mergeCell ref="B15:C15"/>
    <mergeCell ref="B2:G2"/>
    <mergeCell ref="B4:C4"/>
    <mergeCell ref="E6:F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tabSelected="1" workbookViewId="0">
      <selection activeCell="F33" sqref="F33"/>
    </sheetView>
  </sheetViews>
  <sheetFormatPr defaultRowHeight="15" x14ac:dyDescent="0.25"/>
  <cols>
    <col min="2" max="2" width="23.7109375" bestFit="1" customWidth="1"/>
    <col min="3" max="3" width="13.28515625" customWidth="1"/>
    <col min="5" max="5" width="22.28515625" bestFit="1" customWidth="1"/>
    <col min="6" max="6" width="12.140625" customWidth="1"/>
    <col min="7" max="7" width="6.42578125" customWidth="1"/>
    <col min="9" max="9" width="15.42578125" bestFit="1" customWidth="1"/>
    <col min="10" max="10" width="10.7109375" bestFit="1" customWidth="1"/>
  </cols>
  <sheetData>
    <row r="1" spans="2:10" ht="15.75" thickBot="1" x14ac:dyDescent="0.3"/>
    <row r="2" spans="2:10" ht="21.75" thickBot="1" x14ac:dyDescent="0.4">
      <c r="B2" s="58" t="s">
        <v>53</v>
      </c>
      <c r="C2" s="59"/>
      <c r="D2" s="59"/>
      <c r="E2" s="59"/>
      <c r="F2" s="59"/>
      <c r="G2" s="60"/>
      <c r="H2" s="38"/>
      <c r="I2" s="61" t="s">
        <v>77</v>
      </c>
      <c r="J2" s="62"/>
    </row>
    <row r="3" spans="2:10" ht="15" customHeight="1" thickBot="1" x14ac:dyDescent="0.4">
      <c r="B3" s="29"/>
      <c r="C3" s="28"/>
      <c r="D3" s="28"/>
      <c r="E3" s="28"/>
      <c r="F3" s="28"/>
      <c r="G3" s="30"/>
      <c r="H3" s="28"/>
      <c r="I3" s="47" t="s">
        <v>66</v>
      </c>
      <c r="J3" s="48">
        <v>340</v>
      </c>
    </row>
    <row r="4" spans="2:10" ht="15" customHeight="1" thickBot="1" x14ac:dyDescent="0.3">
      <c r="B4" s="55" t="s">
        <v>59</v>
      </c>
      <c r="C4" s="57"/>
      <c r="D4" s="26"/>
      <c r="E4" s="26"/>
      <c r="F4" s="26"/>
      <c r="G4" s="7"/>
      <c r="I4" s="49" t="s">
        <v>67</v>
      </c>
      <c r="J4" s="50">
        <v>3800</v>
      </c>
    </row>
    <row r="5" spans="2:10" ht="15" customHeight="1" thickBot="1" x14ac:dyDescent="0.3">
      <c r="B5" s="4" t="s">
        <v>0</v>
      </c>
      <c r="C5" s="5">
        <v>75</v>
      </c>
      <c r="D5" s="26"/>
      <c r="E5" s="26"/>
      <c r="F5" s="26"/>
      <c r="G5" s="7"/>
      <c r="I5" s="49" t="s">
        <v>68</v>
      </c>
      <c r="J5" s="50">
        <v>1020</v>
      </c>
    </row>
    <row r="6" spans="2:10" ht="15" customHeight="1" thickBot="1" x14ac:dyDescent="0.3">
      <c r="B6" s="4" t="s">
        <v>17</v>
      </c>
      <c r="C6" s="5">
        <v>45</v>
      </c>
      <c r="D6" s="26"/>
      <c r="E6" s="55" t="s">
        <v>51</v>
      </c>
      <c r="F6" s="57"/>
      <c r="G6" s="7"/>
      <c r="I6" s="51" t="s">
        <v>69</v>
      </c>
      <c r="J6" s="50">
        <v>160</v>
      </c>
    </row>
    <row r="7" spans="2:10" ht="15" customHeight="1" x14ac:dyDescent="0.25">
      <c r="B7" s="4" t="s">
        <v>22</v>
      </c>
      <c r="C7" s="5">
        <v>249.2</v>
      </c>
      <c r="D7" s="26"/>
      <c r="E7" s="26" t="s">
        <v>49</v>
      </c>
      <c r="F7" s="5">
        <v>4500</v>
      </c>
      <c r="G7" s="7"/>
      <c r="I7" s="51" t="s">
        <v>70</v>
      </c>
      <c r="J7" s="52">
        <v>60</v>
      </c>
    </row>
    <row r="8" spans="2:10" ht="15" customHeight="1" thickBot="1" x14ac:dyDescent="0.3">
      <c r="B8" s="4" t="s">
        <v>5</v>
      </c>
      <c r="C8" s="5">
        <v>553.23</v>
      </c>
      <c r="D8" s="26"/>
      <c r="E8" s="26" t="s">
        <v>50</v>
      </c>
      <c r="F8" s="5">
        <v>1220</v>
      </c>
      <c r="G8" s="7"/>
      <c r="I8" s="53"/>
      <c r="J8" s="54">
        <f>SUM(J3:J7)</f>
        <v>5380</v>
      </c>
    </row>
    <row r="9" spans="2:10" ht="15" customHeight="1" x14ac:dyDescent="0.25">
      <c r="B9" s="4" t="s">
        <v>9</v>
      </c>
      <c r="C9" s="5">
        <v>440</v>
      </c>
      <c r="D9" s="26"/>
      <c r="E9" s="31" t="s">
        <v>46</v>
      </c>
      <c r="F9" s="5">
        <f>SUM(F7:F8)</f>
        <v>5720</v>
      </c>
      <c r="G9" s="7"/>
    </row>
    <row r="10" spans="2:10" ht="15" customHeight="1" thickBot="1" x14ac:dyDescent="0.3">
      <c r="B10" s="4" t="s">
        <v>2</v>
      </c>
      <c r="C10" s="5">
        <v>500</v>
      </c>
      <c r="D10" s="26"/>
      <c r="E10" s="26"/>
      <c r="F10" s="26"/>
      <c r="G10" s="7"/>
    </row>
    <row r="11" spans="2:10" ht="15" customHeight="1" thickBot="1" x14ac:dyDescent="0.3">
      <c r="B11" s="4" t="s">
        <v>15</v>
      </c>
      <c r="C11" s="5">
        <v>270</v>
      </c>
      <c r="D11" s="26"/>
      <c r="E11" s="41" t="s">
        <v>52</v>
      </c>
      <c r="F11" s="42">
        <f>(F9-C12-C24)</f>
        <v>2160.87</v>
      </c>
      <c r="G11" s="7"/>
    </row>
    <row r="12" spans="2:10" ht="15" customHeight="1" x14ac:dyDescent="0.25">
      <c r="B12" s="25" t="s">
        <v>46</v>
      </c>
      <c r="C12" s="5">
        <f>SUM(C5:C11)</f>
        <v>2132.4300000000003</v>
      </c>
      <c r="D12" s="26"/>
      <c r="E12" s="26"/>
      <c r="F12" s="26"/>
      <c r="G12" s="7"/>
    </row>
    <row r="13" spans="2:10" ht="15" customHeight="1" thickBot="1" x14ac:dyDescent="0.3">
      <c r="B13" s="4"/>
      <c r="C13" s="26"/>
      <c r="D13" s="5"/>
      <c r="E13" s="26"/>
      <c r="F13" s="26"/>
      <c r="G13" s="7"/>
    </row>
    <row r="14" spans="2:10" ht="15" customHeight="1" thickBot="1" x14ac:dyDescent="0.3">
      <c r="B14" s="4"/>
      <c r="C14" s="26"/>
      <c r="D14" s="26"/>
      <c r="E14" s="55" t="s">
        <v>54</v>
      </c>
      <c r="F14" s="56"/>
      <c r="G14" s="57"/>
    </row>
    <row r="15" spans="2:10" ht="15" customHeight="1" thickBot="1" x14ac:dyDescent="0.3">
      <c r="B15" s="55" t="s">
        <v>47</v>
      </c>
      <c r="C15" s="57"/>
      <c r="D15" s="19"/>
      <c r="E15" s="32" t="s">
        <v>55</v>
      </c>
      <c r="F15" s="33">
        <v>756</v>
      </c>
      <c r="G15" s="39">
        <v>0.35</v>
      </c>
    </row>
    <row r="16" spans="2:10" ht="15" customHeight="1" x14ac:dyDescent="0.25">
      <c r="B16" s="4" t="s">
        <v>1</v>
      </c>
      <c r="C16" s="5">
        <v>350</v>
      </c>
      <c r="D16" s="6"/>
      <c r="E16" s="34" t="s">
        <v>56</v>
      </c>
      <c r="F16" s="33">
        <v>1080</v>
      </c>
      <c r="G16" s="39">
        <v>0.5</v>
      </c>
    </row>
    <row r="17" spans="2:7" ht="15" customHeight="1" x14ac:dyDescent="0.25">
      <c r="B17" s="4" t="s">
        <v>4</v>
      </c>
      <c r="C17" s="5">
        <v>50</v>
      </c>
      <c r="D17" s="6"/>
      <c r="E17" s="34" t="s">
        <v>57</v>
      </c>
      <c r="F17" s="33">
        <v>324</v>
      </c>
      <c r="G17" s="40">
        <v>0.15</v>
      </c>
    </row>
    <row r="18" spans="2:7" ht="15" customHeight="1" x14ac:dyDescent="0.25">
      <c r="B18" s="4" t="s">
        <v>7</v>
      </c>
      <c r="C18" s="5">
        <v>89.9</v>
      </c>
      <c r="D18" s="6"/>
      <c r="E18" s="34" t="s">
        <v>45</v>
      </c>
      <c r="F18" s="35" t="s">
        <v>60</v>
      </c>
      <c r="G18" s="20" t="s">
        <v>60</v>
      </c>
    </row>
    <row r="19" spans="2:7" ht="15" customHeight="1" x14ac:dyDescent="0.25">
      <c r="B19" s="4" t="s">
        <v>11</v>
      </c>
      <c r="C19" s="5">
        <v>55</v>
      </c>
      <c r="D19" s="26"/>
      <c r="E19" s="32" t="s">
        <v>58</v>
      </c>
      <c r="F19" s="35" t="s">
        <v>60</v>
      </c>
      <c r="G19" s="20" t="s">
        <v>60</v>
      </c>
    </row>
    <row r="20" spans="2:7" ht="15" customHeight="1" x14ac:dyDescent="0.25">
      <c r="B20" s="4" t="s">
        <v>8</v>
      </c>
      <c r="C20" s="5">
        <v>50</v>
      </c>
      <c r="D20" s="26"/>
      <c r="E20" s="32"/>
      <c r="F20" s="36"/>
      <c r="G20" s="7"/>
    </row>
    <row r="21" spans="2:7" ht="15" customHeight="1" x14ac:dyDescent="0.25">
      <c r="B21" s="4" t="s">
        <v>12</v>
      </c>
      <c r="C21" s="5">
        <v>19.899999999999999</v>
      </c>
      <c r="D21" s="26"/>
      <c r="E21" s="26"/>
      <c r="F21" s="26"/>
      <c r="G21" s="7"/>
    </row>
    <row r="22" spans="2:7" ht="15" customHeight="1" x14ac:dyDescent="0.25">
      <c r="B22" s="4" t="s">
        <v>13</v>
      </c>
      <c r="C22" s="5">
        <v>11.9</v>
      </c>
      <c r="D22" s="26"/>
      <c r="E22" s="26"/>
      <c r="F22" s="26"/>
      <c r="G22" s="7"/>
    </row>
    <row r="23" spans="2:7" ht="15" customHeight="1" x14ac:dyDescent="0.25">
      <c r="B23" s="4" t="s">
        <v>48</v>
      </c>
      <c r="C23" s="5">
        <v>800</v>
      </c>
      <c r="D23" s="26"/>
      <c r="E23" s="26"/>
      <c r="F23" s="26"/>
      <c r="G23" s="7"/>
    </row>
    <row r="24" spans="2:7" ht="15" customHeight="1" x14ac:dyDescent="0.25">
      <c r="B24" s="25" t="s">
        <v>46</v>
      </c>
      <c r="C24" s="5">
        <f>SUM(C16:C23)</f>
        <v>1426.6999999999998</v>
      </c>
      <c r="D24" s="26"/>
      <c r="E24" s="26"/>
      <c r="F24" s="26"/>
      <c r="G24" s="7"/>
    </row>
    <row r="25" spans="2:7" ht="15.75" thickBot="1" x14ac:dyDescent="0.3">
      <c r="B25" s="8"/>
      <c r="C25" s="37"/>
      <c r="D25" s="37"/>
      <c r="E25" s="37"/>
      <c r="F25" s="37"/>
      <c r="G25" s="11"/>
    </row>
  </sheetData>
  <mergeCells count="6">
    <mergeCell ref="I2:J2"/>
    <mergeCell ref="B4:C4"/>
    <mergeCell ref="E6:F6"/>
    <mergeCell ref="B15:C15"/>
    <mergeCell ref="E14:G14"/>
    <mergeCell ref="B2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workbookViewId="0">
      <selection activeCell="J10" sqref="J10"/>
    </sheetView>
  </sheetViews>
  <sheetFormatPr defaultRowHeight="15" x14ac:dyDescent="0.25"/>
  <cols>
    <col min="2" max="2" width="23.7109375" bestFit="1" customWidth="1"/>
    <col min="3" max="3" width="13.28515625" customWidth="1"/>
    <col min="5" max="5" width="22.28515625" bestFit="1" customWidth="1"/>
    <col min="6" max="6" width="12.140625" customWidth="1"/>
    <col min="7" max="7" width="6.42578125" customWidth="1"/>
  </cols>
  <sheetData>
    <row r="1" spans="2:10" ht="15.75" thickBot="1" x14ac:dyDescent="0.3"/>
    <row r="2" spans="2:10" ht="21.75" thickBot="1" x14ac:dyDescent="0.4">
      <c r="B2" s="58" t="s">
        <v>61</v>
      </c>
      <c r="C2" s="59"/>
      <c r="D2" s="59"/>
      <c r="E2" s="59"/>
      <c r="F2" s="59"/>
      <c r="G2" s="60"/>
      <c r="H2" s="38"/>
      <c r="I2" s="27"/>
      <c r="J2" s="27"/>
    </row>
    <row r="3" spans="2:10" ht="15" customHeight="1" thickBot="1" x14ac:dyDescent="0.4">
      <c r="B3" s="29"/>
      <c r="C3" s="28"/>
      <c r="D3" s="28"/>
      <c r="E3" s="28"/>
      <c r="F3" s="28"/>
      <c r="G3" s="30"/>
      <c r="H3" s="28"/>
      <c r="I3" s="27"/>
      <c r="J3" s="27"/>
    </row>
    <row r="4" spans="2:10" ht="15" customHeight="1" thickBot="1" x14ac:dyDescent="0.3">
      <c r="B4" s="55" t="s">
        <v>59</v>
      </c>
      <c r="C4" s="57"/>
      <c r="D4" s="26"/>
      <c r="E4" s="26"/>
      <c r="F4" s="26"/>
      <c r="G4" s="7"/>
    </row>
    <row r="5" spans="2:10" ht="15" customHeight="1" thickBot="1" x14ac:dyDescent="0.3">
      <c r="B5" s="4" t="s">
        <v>0</v>
      </c>
      <c r="C5" s="5">
        <v>75</v>
      </c>
      <c r="D5" s="26"/>
      <c r="E5" s="26"/>
      <c r="F5" s="26"/>
      <c r="G5" s="7"/>
    </row>
    <row r="6" spans="2:10" ht="15" customHeight="1" thickBot="1" x14ac:dyDescent="0.3">
      <c r="B6" s="4" t="s">
        <v>17</v>
      </c>
      <c r="C6" s="5">
        <v>45</v>
      </c>
      <c r="D6" s="26"/>
      <c r="E6" s="55" t="s">
        <v>51</v>
      </c>
      <c r="F6" s="57"/>
      <c r="G6" s="7"/>
    </row>
    <row r="7" spans="2:10" ht="15" customHeight="1" x14ac:dyDescent="0.25">
      <c r="B7" s="4" t="s">
        <v>22</v>
      </c>
      <c r="C7" s="5">
        <v>249.2</v>
      </c>
      <c r="D7" s="26"/>
      <c r="E7" s="26" t="s">
        <v>49</v>
      </c>
      <c r="F7" s="5">
        <v>4500</v>
      </c>
      <c r="G7" s="7"/>
    </row>
    <row r="8" spans="2:10" ht="15" customHeight="1" x14ac:dyDescent="0.25">
      <c r="B8" s="4" t="s">
        <v>5</v>
      </c>
      <c r="C8" s="5">
        <v>553.23</v>
      </c>
      <c r="D8" s="26"/>
      <c r="E8" s="26" t="s">
        <v>50</v>
      </c>
      <c r="F8" s="5">
        <v>4000</v>
      </c>
      <c r="G8" s="7"/>
    </row>
    <row r="9" spans="2:10" ht="15" customHeight="1" x14ac:dyDescent="0.25">
      <c r="B9" s="4" t="s">
        <v>9</v>
      </c>
      <c r="C9" s="5">
        <v>440</v>
      </c>
      <c r="D9" s="26"/>
      <c r="E9" s="31" t="s">
        <v>46</v>
      </c>
      <c r="F9" s="36">
        <f>SUM(F7:F8)</f>
        <v>8500</v>
      </c>
      <c r="G9" s="7"/>
    </row>
    <row r="10" spans="2:10" ht="15" customHeight="1" thickBot="1" x14ac:dyDescent="0.3">
      <c r="B10" s="4" t="s">
        <v>2</v>
      </c>
      <c r="C10" s="5">
        <v>500</v>
      </c>
      <c r="D10" s="26"/>
      <c r="E10" s="26"/>
      <c r="F10" s="26"/>
      <c r="G10" s="7"/>
    </row>
    <row r="11" spans="2:10" ht="15" customHeight="1" thickBot="1" x14ac:dyDescent="0.3">
      <c r="B11" s="4" t="s">
        <v>15</v>
      </c>
      <c r="C11" s="5">
        <v>270</v>
      </c>
      <c r="D11" s="26"/>
      <c r="E11" s="41" t="s">
        <v>52</v>
      </c>
      <c r="F11" s="42">
        <f>(F9-C12-C24)</f>
        <v>4940.87</v>
      </c>
      <c r="G11" s="7"/>
    </row>
    <row r="12" spans="2:10" ht="15" customHeight="1" x14ac:dyDescent="0.25">
      <c r="B12" s="25" t="s">
        <v>46</v>
      </c>
      <c r="C12" s="5">
        <f>SUM(C5:C11)</f>
        <v>2132.4300000000003</v>
      </c>
      <c r="D12" s="26"/>
      <c r="E12" s="26"/>
      <c r="F12" s="26"/>
      <c r="G12" s="7"/>
    </row>
    <row r="13" spans="2:10" ht="15" customHeight="1" thickBot="1" x14ac:dyDescent="0.3">
      <c r="B13" s="4"/>
      <c r="C13" s="26"/>
      <c r="D13" s="5"/>
      <c r="E13" s="26"/>
      <c r="F13" s="26"/>
      <c r="G13" s="7"/>
    </row>
    <row r="14" spans="2:10" ht="15" customHeight="1" thickBot="1" x14ac:dyDescent="0.3">
      <c r="B14" s="4"/>
      <c r="C14" s="26"/>
      <c r="D14" s="26"/>
      <c r="E14" s="55" t="s">
        <v>54</v>
      </c>
      <c r="F14" s="56"/>
      <c r="G14" s="57"/>
    </row>
    <row r="15" spans="2:10" ht="15" customHeight="1" thickBot="1" x14ac:dyDescent="0.3">
      <c r="B15" s="55" t="s">
        <v>47</v>
      </c>
      <c r="C15" s="57"/>
      <c r="D15" s="19"/>
      <c r="E15" s="32" t="s">
        <v>55</v>
      </c>
      <c r="F15" s="33"/>
      <c r="G15" s="39"/>
    </row>
    <row r="16" spans="2:10" ht="15" customHeight="1" x14ac:dyDescent="0.25">
      <c r="B16" s="4" t="s">
        <v>1</v>
      </c>
      <c r="C16" s="5">
        <v>350</v>
      </c>
      <c r="D16" s="6"/>
      <c r="E16" s="34" t="s">
        <v>56</v>
      </c>
      <c r="F16" s="33"/>
      <c r="G16" s="39"/>
    </row>
    <row r="17" spans="2:7" ht="15" customHeight="1" x14ac:dyDescent="0.25">
      <c r="B17" s="4" t="s">
        <v>4</v>
      </c>
      <c r="C17" s="5">
        <v>50</v>
      </c>
      <c r="D17" s="6"/>
      <c r="E17" s="34" t="s">
        <v>57</v>
      </c>
      <c r="F17" s="33"/>
      <c r="G17" s="40"/>
    </row>
    <row r="18" spans="2:7" ht="15" customHeight="1" x14ac:dyDescent="0.25">
      <c r="B18" s="4" t="s">
        <v>7</v>
      </c>
      <c r="C18" s="5">
        <v>89.9</v>
      </c>
      <c r="D18" s="6"/>
      <c r="E18" s="34" t="s">
        <v>45</v>
      </c>
      <c r="F18" s="35" t="s">
        <v>60</v>
      </c>
      <c r="G18" s="20" t="s">
        <v>60</v>
      </c>
    </row>
    <row r="19" spans="2:7" ht="15" customHeight="1" x14ac:dyDescent="0.25">
      <c r="B19" s="4" t="s">
        <v>11</v>
      </c>
      <c r="C19" s="5">
        <v>55</v>
      </c>
      <c r="D19" s="26"/>
      <c r="E19" s="32" t="s">
        <v>58</v>
      </c>
      <c r="F19" s="35" t="s">
        <v>60</v>
      </c>
      <c r="G19" s="20" t="s">
        <v>60</v>
      </c>
    </row>
    <row r="20" spans="2:7" ht="15" customHeight="1" x14ac:dyDescent="0.25">
      <c r="B20" s="4" t="s">
        <v>8</v>
      </c>
      <c r="C20" s="5">
        <v>50</v>
      </c>
      <c r="D20" s="26"/>
      <c r="E20" s="32"/>
      <c r="F20" s="36"/>
      <c r="G20" s="7"/>
    </row>
    <row r="21" spans="2:7" ht="15" customHeight="1" x14ac:dyDescent="0.25">
      <c r="B21" s="4" t="s">
        <v>12</v>
      </c>
      <c r="C21" s="5">
        <v>19.899999999999999</v>
      </c>
      <c r="D21" s="26"/>
      <c r="E21" s="26"/>
      <c r="F21" s="26"/>
      <c r="G21" s="7"/>
    </row>
    <row r="22" spans="2:7" ht="15" customHeight="1" x14ac:dyDescent="0.25">
      <c r="B22" s="4" t="s">
        <v>13</v>
      </c>
      <c r="C22" s="5">
        <v>11.9</v>
      </c>
      <c r="D22" s="26"/>
      <c r="E22" s="26"/>
      <c r="F22" s="26"/>
      <c r="G22" s="7"/>
    </row>
    <row r="23" spans="2:7" ht="15" customHeight="1" x14ac:dyDescent="0.25">
      <c r="B23" s="4" t="s">
        <v>48</v>
      </c>
      <c r="C23" s="5">
        <v>800</v>
      </c>
      <c r="D23" s="26"/>
      <c r="E23" s="26"/>
      <c r="F23" s="26"/>
      <c r="G23" s="7"/>
    </row>
    <row r="24" spans="2:7" ht="15" customHeight="1" x14ac:dyDescent="0.25">
      <c r="B24" s="25" t="s">
        <v>46</v>
      </c>
      <c r="C24" s="5">
        <f>SUM(C16:C23)</f>
        <v>1426.6999999999998</v>
      </c>
      <c r="D24" s="26"/>
      <c r="E24" s="26"/>
      <c r="F24" s="26"/>
      <c r="G24" s="7"/>
    </row>
    <row r="25" spans="2:7" ht="15.75" thickBot="1" x14ac:dyDescent="0.3">
      <c r="B25" s="8"/>
      <c r="C25" s="37"/>
      <c r="D25" s="37"/>
      <c r="E25" s="37"/>
      <c r="F25" s="37"/>
      <c r="G25" s="11"/>
    </row>
  </sheetData>
  <mergeCells count="5">
    <mergeCell ref="B2:G2"/>
    <mergeCell ref="B4:C4"/>
    <mergeCell ref="E6:F6"/>
    <mergeCell ref="E14:G14"/>
    <mergeCell ref="B15:C1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workbookViewId="0">
      <selection activeCell="P29" sqref="P29"/>
    </sheetView>
  </sheetViews>
  <sheetFormatPr defaultRowHeight="15" x14ac:dyDescent="0.25"/>
  <cols>
    <col min="2" max="2" width="23.7109375" bestFit="1" customWidth="1"/>
    <col min="3" max="3" width="13.28515625" customWidth="1"/>
    <col min="5" max="5" width="22.28515625" bestFit="1" customWidth="1"/>
    <col min="6" max="6" width="12.140625" customWidth="1"/>
    <col min="7" max="7" width="6.42578125" customWidth="1"/>
  </cols>
  <sheetData>
    <row r="1" spans="2:10" ht="15.75" thickBot="1" x14ac:dyDescent="0.3"/>
    <row r="2" spans="2:10" ht="21.75" thickBot="1" x14ac:dyDescent="0.4">
      <c r="B2" s="58" t="s">
        <v>62</v>
      </c>
      <c r="C2" s="59"/>
      <c r="D2" s="59"/>
      <c r="E2" s="59"/>
      <c r="F2" s="59"/>
      <c r="G2" s="60"/>
      <c r="H2" s="38"/>
      <c r="I2" s="27"/>
      <c r="J2" s="27"/>
    </row>
    <row r="3" spans="2:10" ht="15" customHeight="1" thickBot="1" x14ac:dyDescent="0.4">
      <c r="B3" s="29"/>
      <c r="C3" s="28"/>
      <c r="D3" s="28"/>
      <c r="E3" s="28"/>
      <c r="F3" s="28"/>
      <c r="G3" s="30"/>
      <c r="H3" s="28"/>
      <c r="I3" s="27"/>
      <c r="J3" s="27"/>
    </row>
    <row r="4" spans="2:10" ht="15" customHeight="1" thickBot="1" x14ac:dyDescent="0.3">
      <c r="B4" s="55" t="s">
        <v>59</v>
      </c>
      <c r="C4" s="57"/>
      <c r="D4" s="26"/>
      <c r="E4" s="26"/>
      <c r="F4" s="26"/>
      <c r="G4" s="7"/>
    </row>
    <row r="5" spans="2:10" ht="15" customHeight="1" thickBot="1" x14ac:dyDescent="0.3">
      <c r="B5" s="4" t="s">
        <v>0</v>
      </c>
      <c r="C5" s="5">
        <v>75</v>
      </c>
      <c r="D5" s="26"/>
      <c r="E5" s="26"/>
      <c r="F5" s="26"/>
      <c r="G5" s="7"/>
    </row>
    <row r="6" spans="2:10" ht="15" customHeight="1" thickBot="1" x14ac:dyDescent="0.3">
      <c r="B6" s="4" t="s">
        <v>17</v>
      </c>
      <c r="C6" s="5">
        <v>45</v>
      </c>
      <c r="D6" s="26"/>
      <c r="E6" s="55" t="s">
        <v>51</v>
      </c>
      <c r="F6" s="57"/>
      <c r="G6" s="7"/>
    </row>
    <row r="7" spans="2:10" ht="15" customHeight="1" x14ac:dyDescent="0.25">
      <c r="B7" s="4" t="s">
        <v>22</v>
      </c>
      <c r="C7" s="5">
        <v>249.2</v>
      </c>
      <c r="D7" s="26"/>
      <c r="E7" s="26" t="s">
        <v>49</v>
      </c>
      <c r="F7" s="5"/>
      <c r="G7" s="7"/>
    </row>
    <row r="8" spans="2:10" ht="15" customHeight="1" x14ac:dyDescent="0.25">
      <c r="B8" s="4" t="s">
        <v>5</v>
      </c>
      <c r="C8" s="5">
        <v>553.23</v>
      </c>
      <c r="D8" s="26"/>
      <c r="E8" s="26" t="s">
        <v>50</v>
      </c>
      <c r="F8" s="5"/>
      <c r="G8" s="7"/>
    </row>
    <row r="9" spans="2:10" ht="15" customHeight="1" x14ac:dyDescent="0.25">
      <c r="B9" s="4" t="s">
        <v>9</v>
      </c>
      <c r="C9" s="5">
        <v>440</v>
      </c>
      <c r="D9" s="26"/>
      <c r="E9" s="31" t="s">
        <v>46</v>
      </c>
      <c r="F9" s="5"/>
      <c r="G9" s="7"/>
    </row>
    <row r="10" spans="2:10" ht="15" customHeight="1" thickBot="1" x14ac:dyDescent="0.3">
      <c r="B10" s="4" t="s">
        <v>2</v>
      </c>
      <c r="C10" s="5">
        <v>500</v>
      </c>
      <c r="D10" s="26"/>
      <c r="E10" s="26"/>
      <c r="F10" s="26"/>
      <c r="G10" s="7"/>
    </row>
    <row r="11" spans="2:10" ht="15" customHeight="1" thickBot="1" x14ac:dyDescent="0.3">
      <c r="B11" s="4" t="s">
        <v>15</v>
      </c>
      <c r="C11" s="5">
        <v>270</v>
      </c>
      <c r="D11" s="26"/>
      <c r="E11" s="41" t="s">
        <v>52</v>
      </c>
      <c r="F11" s="42">
        <f>(F9-C12-C24)</f>
        <v>-3559.13</v>
      </c>
      <c r="G11" s="7"/>
    </row>
    <row r="12" spans="2:10" ht="15" customHeight="1" x14ac:dyDescent="0.25">
      <c r="B12" s="25" t="s">
        <v>46</v>
      </c>
      <c r="C12" s="5">
        <f>SUM(C5:C11)</f>
        <v>2132.4300000000003</v>
      </c>
      <c r="D12" s="26"/>
      <c r="E12" s="26"/>
      <c r="F12" s="26"/>
      <c r="G12" s="7"/>
    </row>
    <row r="13" spans="2:10" ht="15" customHeight="1" thickBot="1" x14ac:dyDescent="0.3">
      <c r="B13" s="4"/>
      <c r="C13" s="26"/>
      <c r="D13" s="5"/>
      <c r="E13" s="26"/>
      <c r="F13" s="26"/>
      <c r="G13" s="7"/>
    </row>
    <row r="14" spans="2:10" ht="15" customHeight="1" thickBot="1" x14ac:dyDescent="0.3">
      <c r="B14" s="4"/>
      <c r="C14" s="26"/>
      <c r="D14" s="26"/>
      <c r="E14" s="55" t="s">
        <v>54</v>
      </c>
      <c r="F14" s="56"/>
      <c r="G14" s="57"/>
    </row>
    <row r="15" spans="2:10" ht="15" customHeight="1" thickBot="1" x14ac:dyDescent="0.3">
      <c r="B15" s="55" t="s">
        <v>47</v>
      </c>
      <c r="C15" s="57"/>
      <c r="D15" s="19"/>
      <c r="E15" s="32" t="s">
        <v>55</v>
      </c>
      <c r="F15" s="33"/>
      <c r="G15" s="39"/>
    </row>
    <row r="16" spans="2:10" ht="15" customHeight="1" x14ac:dyDescent="0.25">
      <c r="B16" s="4" t="s">
        <v>1</v>
      </c>
      <c r="C16" s="5">
        <v>350</v>
      </c>
      <c r="D16" s="6"/>
      <c r="E16" s="34" t="s">
        <v>56</v>
      </c>
      <c r="F16" s="33"/>
      <c r="G16" s="39"/>
    </row>
    <row r="17" spans="2:7" ht="15" customHeight="1" x14ac:dyDescent="0.25">
      <c r="B17" s="4" t="s">
        <v>4</v>
      </c>
      <c r="C17" s="5">
        <v>50</v>
      </c>
      <c r="D17" s="6"/>
      <c r="E17" s="34" t="s">
        <v>57</v>
      </c>
      <c r="F17" s="33"/>
      <c r="G17" s="40"/>
    </row>
    <row r="18" spans="2:7" ht="15" customHeight="1" x14ac:dyDescent="0.25">
      <c r="B18" s="4" t="s">
        <v>7</v>
      </c>
      <c r="C18" s="5">
        <v>89.9</v>
      </c>
      <c r="D18" s="6"/>
      <c r="E18" s="34" t="s">
        <v>45</v>
      </c>
      <c r="F18" s="35" t="s">
        <v>60</v>
      </c>
      <c r="G18" s="20" t="s">
        <v>60</v>
      </c>
    </row>
    <row r="19" spans="2:7" ht="15" customHeight="1" x14ac:dyDescent="0.25">
      <c r="B19" s="4" t="s">
        <v>11</v>
      </c>
      <c r="C19" s="5">
        <v>55</v>
      </c>
      <c r="D19" s="26"/>
      <c r="E19" s="32" t="s">
        <v>58</v>
      </c>
      <c r="F19" s="35" t="s">
        <v>60</v>
      </c>
      <c r="G19" s="20" t="s">
        <v>60</v>
      </c>
    </row>
    <row r="20" spans="2:7" ht="15" customHeight="1" x14ac:dyDescent="0.25">
      <c r="B20" s="4" t="s">
        <v>8</v>
      </c>
      <c r="C20" s="5">
        <v>50</v>
      </c>
      <c r="D20" s="26"/>
      <c r="E20" s="32"/>
      <c r="F20" s="36"/>
      <c r="G20" s="7"/>
    </row>
    <row r="21" spans="2:7" ht="15" customHeight="1" x14ac:dyDescent="0.25">
      <c r="B21" s="4" t="s">
        <v>12</v>
      </c>
      <c r="C21" s="5">
        <v>19.899999999999999</v>
      </c>
      <c r="D21" s="26"/>
      <c r="E21" s="26"/>
      <c r="F21" s="26"/>
      <c r="G21" s="7"/>
    </row>
    <row r="22" spans="2:7" ht="15" customHeight="1" x14ac:dyDescent="0.25">
      <c r="B22" s="4" t="s">
        <v>13</v>
      </c>
      <c r="C22" s="5">
        <v>11.9</v>
      </c>
      <c r="D22" s="26"/>
      <c r="E22" s="26"/>
      <c r="F22" s="26"/>
      <c r="G22" s="7"/>
    </row>
    <row r="23" spans="2:7" ht="15" customHeight="1" x14ac:dyDescent="0.25">
      <c r="B23" s="4" t="s">
        <v>48</v>
      </c>
      <c r="C23" s="5">
        <v>800</v>
      </c>
      <c r="D23" s="26"/>
      <c r="E23" s="26"/>
      <c r="F23" s="26"/>
      <c r="G23" s="7"/>
    </row>
    <row r="24" spans="2:7" ht="15" customHeight="1" x14ac:dyDescent="0.25">
      <c r="B24" s="25" t="s">
        <v>46</v>
      </c>
      <c r="C24" s="5">
        <f>SUM(C16:C23)</f>
        <v>1426.6999999999998</v>
      </c>
      <c r="D24" s="26"/>
      <c r="E24" s="26"/>
      <c r="F24" s="26"/>
      <c r="G24" s="7"/>
    </row>
    <row r="25" spans="2:7" ht="15.75" thickBot="1" x14ac:dyDescent="0.3">
      <c r="B25" s="8"/>
      <c r="C25" s="37"/>
      <c r="D25" s="37"/>
      <c r="E25" s="37"/>
      <c r="F25" s="37"/>
      <c r="G25" s="11"/>
    </row>
  </sheetData>
  <mergeCells count="5">
    <mergeCell ref="B2:G2"/>
    <mergeCell ref="B4:C4"/>
    <mergeCell ref="E6:F6"/>
    <mergeCell ref="E14:G14"/>
    <mergeCell ref="B15:C1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workbookViewId="0">
      <selection activeCell="K24" sqref="K24"/>
    </sheetView>
  </sheetViews>
  <sheetFormatPr defaultRowHeight="15" x14ac:dyDescent="0.25"/>
  <cols>
    <col min="2" max="2" width="23.7109375" bestFit="1" customWidth="1"/>
    <col min="3" max="3" width="13.28515625" customWidth="1"/>
    <col min="5" max="5" width="22.28515625" bestFit="1" customWidth="1"/>
    <col min="6" max="6" width="12.140625" customWidth="1"/>
    <col min="7" max="7" width="6.42578125" customWidth="1"/>
  </cols>
  <sheetData>
    <row r="1" spans="2:10" ht="15.75" thickBot="1" x14ac:dyDescent="0.3"/>
    <row r="2" spans="2:10" ht="21.75" thickBot="1" x14ac:dyDescent="0.4">
      <c r="B2" s="58" t="s">
        <v>63</v>
      </c>
      <c r="C2" s="59"/>
      <c r="D2" s="59"/>
      <c r="E2" s="59"/>
      <c r="F2" s="59"/>
      <c r="G2" s="60"/>
      <c r="H2" s="38"/>
      <c r="I2" s="27"/>
      <c r="J2" s="27"/>
    </row>
    <row r="3" spans="2:10" ht="15" customHeight="1" thickBot="1" x14ac:dyDescent="0.4">
      <c r="B3" s="29"/>
      <c r="C3" s="28"/>
      <c r="D3" s="28"/>
      <c r="E3" s="28"/>
      <c r="F3" s="28"/>
      <c r="G3" s="30"/>
      <c r="H3" s="28"/>
      <c r="I3" s="27"/>
      <c r="J3" s="27"/>
    </row>
    <row r="4" spans="2:10" ht="15" customHeight="1" thickBot="1" x14ac:dyDescent="0.3">
      <c r="B4" s="55" t="s">
        <v>59</v>
      </c>
      <c r="C4" s="57"/>
      <c r="D4" s="26"/>
      <c r="E4" s="26"/>
      <c r="F4" s="26"/>
      <c r="G4" s="7"/>
    </row>
    <row r="5" spans="2:10" ht="15" customHeight="1" thickBot="1" x14ac:dyDescent="0.3">
      <c r="B5" s="4" t="s">
        <v>0</v>
      </c>
      <c r="C5" s="5">
        <v>75</v>
      </c>
      <c r="D5" s="26"/>
      <c r="E5" s="26"/>
      <c r="F5" s="26"/>
      <c r="G5" s="7"/>
    </row>
    <row r="6" spans="2:10" ht="15" customHeight="1" thickBot="1" x14ac:dyDescent="0.3">
      <c r="B6" s="4" t="s">
        <v>17</v>
      </c>
      <c r="C6" s="5">
        <v>45</v>
      </c>
      <c r="D6" s="26"/>
      <c r="E6" s="55" t="s">
        <v>51</v>
      </c>
      <c r="F6" s="57"/>
      <c r="G6" s="7"/>
    </row>
    <row r="7" spans="2:10" ht="15" customHeight="1" x14ac:dyDescent="0.25">
      <c r="B7" s="4" t="s">
        <v>22</v>
      </c>
      <c r="C7" s="5">
        <v>249.2</v>
      </c>
      <c r="D7" s="26"/>
      <c r="E7" s="26" t="s">
        <v>49</v>
      </c>
      <c r="F7" s="5"/>
      <c r="G7" s="7"/>
    </row>
    <row r="8" spans="2:10" ht="15" customHeight="1" x14ac:dyDescent="0.25">
      <c r="B8" s="4" t="s">
        <v>5</v>
      </c>
      <c r="C8" s="5">
        <v>553.23</v>
      </c>
      <c r="D8" s="26"/>
      <c r="E8" s="26" t="s">
        <v>50</v>
      </c>
      <c r="F8" s="5"/>
      <c r="G8" s="7"/>
    </row>
    <row r="9" spans="2:10" ht="15" customHeight="1" x14ac:dyDescent="0.25">
      <c r="B9" s="4" t="s">
        <v>9</v>
      </c>
      <c r="C9" s="5">
        <v>440</v>
      </c>
      <c r="D9" s="26"/>
      <c r="E9" s="31" t="s">
        <v>46</v>
      </c>
      <c r="F9" s="5">
        <f>SUM(F7:F8)</f>
        <v>0</v>
      </c>
      <c r="G9" s="7"/>
    </row>
    <row r="10" spans="2:10" ht="15" customHeight="1" thickBot="1" x14ac:dyDescent="0.3">
      <c r="B10" s="4" t="s">
        <v>2</v>
      </c>
      <c r="C10" s="5">
        <v>500</v>
      </c>
      <c r="D10" s="26"/>
      <c r="E10" s="26"/>
      <c r="F10" s="26"/>
      <c r="G10" s="7"/>
    </row>
    <row r="11" spans="2:10" ht="15" customHeight="1" thickBot="1" x14ac:dyDescent="0.3">
      <c r="B11" s="4" t="s">
        <v>15</v>
      </c>
      <c r="C11" s="5">
        <v>270</v>
      </c>
      <c r="D11" s="26"/>
      <c r="E11" s="41" t="s">
        <v>52</v>
      </c>
      <c r="F11" s="42">
        <f>(F9-C12-C24)</f>
        <v>-3559.13</v>
      </c>
      <c r="G11" s="7"/>
    </row>
    <row r="12" spans="2:10" ht="15" customHeight="1" x14ac:dyDescent="0.25">
      <c r="B12" s="25" t="s">
        <v>46</v>
      </c>
      <c r="C12" s="5">
        <f>SUM(C5:C11)</f>
        <v>2132.4300000000003</v>
      </c>
      <c r="D12" s="26"/>
      <c r="E12" s="26"/>
      <c r="F12" s="26"/>
      <c r="G12" s="7"/>
    </row>
    <row r="13" spans="2:10" ht="15" customHeight="1" thickBot="1" x14ac:dyDescent="0.3">
      <c r="B13" s="4"/>
      <c r="C13" s="26"/>
      <c r="D13" s="5"/>
      <c r="E13" s="26"/>
      <c r="F13" s="26"/>
      <c r="G13" s="7"/>
    </row>
    <row r="14" spans="2:10" ht="15" customHeight="1" thickBot="1" x14ac:dyDescent="0.3">
      <c r="B14" s="4"/>
      <c r="C14" s="26"/>
      <c r="D14" s="26"/>
      <c r="E14" s="55" t="s">
        <v>54</v>
      </c>
      <c r="F14" s="56"/>
      <c r="G14" s="57"/>
    </row>
    <row r="15" spans="2:10" ht="15" customHeight="1" thickBot="1" x14ac:dyDescent="0.3">
      <c r="B15" s="55" t="s">
        <v>47</v>
      </c>
      <c r="C15" s="57"/>
      <c r="D15" s="19"/>
      <c r="E15" s="32" t="s">
        <v>55</v>
      </c>
      <c r="F15" s="33"/>
      <c r="G15" s="39"/>
    </row>
    <row r="16" spans="2:10" ht="15" customHeight="1" x14ac:dyDescent="0.25">
      <c r="B16" s="4" t="s">
        <v>1</v>
      </c>
      <c r="C16" s="5">
        <v>350</v>
      </c>
      <c r="D16" s="6"/>
      <c r="E16" s="34" t="s">
        <v>56</v>
      </c>
      <c r="F16" s="33"/>
      <c r="G16" s="39"/>
    </row>
    <row r="17" spans="2:7" ht="15" customHeight="1" x14ac:dyDescent="0.25">
      <c r="B17" s="4" t="s">
        <v>4</v>
      </c>
      <c r="C17" s="5">
        <v>50</v>
      </c>
      <c r="D17" s="6"/>
      <c r="E17" s="34" t="s">
        <v>57</v>
      </c>
      <c r="F17" s="33"/>
      <c r="G17" s="40"/>
    </row>
    <row r="18" spans="2:7" ht="15" customHeight="1" x14ac:dyDescent="0.25">
      <c r="B18" s="4" t="s">
        <v>7</v>
      </c>
      <c r="C18" s="5">
        <v>89.9</v>
      </c>
      <c r="D18" s="6"/>
      <c r="E18" s="34" t="s">
        <v>45</v>
      </c>
      <c r="F18" s="35" t="s">
        <v>60</v>
      </c>
      <c r="G18" s="20" t="s">
        <v>60</v>
      </c>
    </row>
    <row r="19" spans="2:7" ht="15" customHeight="1" x14ac:dyDescent="0.25">
      <c r="B19" s="4" t="s">
        <v>11</v>
      </c>
      <c r="C19" s="5">
        <v>55</v>
      </c>
      <c r="D19" s="26"/>
      <c r="E19" s="32" t="s">
        <v>58</v>
      </c>
      <c r="F19" s="35" t="s">
        <v>60</v>
      </c>
      <c r="G19" s="20" t="s">
        <v>60</v>
      </c>
    </row>
    <row r="20" spans="2:7" ht="15" customHeight="1" x14ac:dyDescent="0.25">
      <c r="B20" s="4" t="s">
        <v>8</v>
      </c>
      <c r="C20" s="5">
        <v>50</v>
      </c>
      <c r="D20" s="26"/>
      <c r="E20" s="32"/>
      <c r="F20" s="36"/>
      <c r="G20" s="7"/>
    </row>
    <row r="21" spans="2:7" ht="15" customHeight="1" x14ac:dyDescent="0.25">
      <c r="B21" s="4" t="s">
        <v>12</v>
      </c>
      <c r="C21" s="5">
        <v>19.899999999999999</v>
      </c>
      <c r="D21" s="26"/>
      <c r="E21" s="26"/>
      <c r="F21" s="26"/>
      <c r="G21" s="7"/>
    </row>
    <row r="22" spans="2:7" ht="15" customHeight="1" x14ac:dyDescent="0.25">
      <c r="B22" s="4" t="s">
        <v>13</v>
      </c>
      <c r="C22" s="5">
        <v>11.9</v>
      </c>
      <c r="D22" s="26"/>
      <c r="E22" s="26"/>
      <c r="F22" s="26"/>
      <c r="G22" s="7"/>
    </row>
    <row r="23" spans="2:7" ht="15" customHeight="1" x14ac:dyDescent="0.25">
      <c r="B23" s="4" t="s">
        <v>48</v>
      </c>
      <c r="C23" s="5">
        <v>800</v>
      </c>
      <c r="D23" s="26"/>
      <c r="E23" s="26"/>
      <c r="F23" s="26"/>
      <c r="G23" s="7"/>
    </row>
    <row r="24" spans="2:7" ht="15" customHeight="1" x14ac:dyDescent="0.25">
      <c r="B24" s="25" t="s">
        <v>46</v>
      </c>
      <c r="C24" s="5">
        <f>SUM(C16:C23)</f>
        <v>1426.6999999999998</v>
      </c>
      <c r="D24" s="26"/>
      <c r="E24" s="26"/>
      <c r="F24" s="26"/>
      <c r="G24" s="7"/>
    </row>
    <row r="25" spans="2:7" ht="15.75" thickBot="1" x14ac:dyDescent="0.3">
      <c r="B25" s="8"/>
      <c r="C25" s="37"/>
      <c r="D25" s="37"/>
      <c r="E25" s="37"/>
      <c r="F25" s="37"/>
      <c r="G25" s="11"/>
    </row>
  </sheetData>
  <mergeCells count="5">
    <mergeCell ref="B2:G2"/>
    <mergeCell ref="B4:C4"/>
    <mergeCell ref="E6:F6"/>
    <mergeCell ref="E14:G14"/>
    <mergeCell ref="B15:C1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1"/>
  <sheetViews>
    <sheetView workbookViewId="0">
      <selection activeCell="L16" sqref="L16"/>
    </sheetView>
  </sheetViews>
  <sheetFormatPr defaultRowHeight="15" x14ac:dyDescent="0.25"/>
  <cols>
    <col min="2" max="2" width="25.7109375" bestFit="1" customWidth="1"/>
    <col min="3" max="3" width="11.7109375" bestFit="1" customWidth="1"/>
    <col min="4" max="4" width="13.42578125" bestFit="1" customWidth="1"/>
    <col min="5" max="5" width="10.7109375" bestFit="1" customWidth="1"/>
    <col min="6" max="6" width="11.140625" bestFit="1" customWidth="1"/>
    <col min="7" max="7" width="11.5703125" bestFit="1" customWidth="1"/>
  </cols>
  <sheetData>
    <row r="1" spans="2:7" ht="15.75" thickBot="1" x14ac:dyDescent="0.3"/>
    <row r="2" spans="2:7" ht="15.75" thickBot="1" x14ac:dyDescent="0.3">
      <c r="B2" s="55" t="s">
        <v>18</v>
      </c>
      <c r="C2" s="56"/>
      <c r="D2" s="56"/>
      <c r="E2" s="56"/>
      <c r="F2" s="56"/>
      <c r="G2" s="57"/>
    </row>
    <row r="3" spans="2:7" x14ac:dyDescent="0.25">
      <c r="B3" s="3"/>
      <c r="C3" s="17" t="s">
        <v>34</v>
      </c>
      <c r="D3" s="16"/>
      <c r="E3" s="17"/>
      <c r="F3" s="17"/>
      <c r="G3" s="13" t="s">
        <v>35</v>
      </c>
    </row>
    <row r="4" spans="2:7" x14ac:dyDescent="0.25">
      <c r="B4" s="4" t="s">
        <v>3</v>
      </c>
      <c r="C4" s="5"/>
      <c r="D4" s="6"/>
      <c r="E4" s="5"/>
      <c r="F4" s="5"/>
      <c r="G4" s="20" t="s">
        <v>36</v>
      </c>
    </row>
    <row r="5" spans="2:7" x14ac:dyDescent="0.25">
      <c r="B5" s="4" t="s">
        <v>10</v>
      </c>
      <c r="C5" s="5">
        <v>350</v>
      </c>
      <c r="D5" s="6"/>
      <c r="E5" s="5"/>
      <c r="F5" s="5"/>
      <c r="G5" s="20" t="s">
        <v>37</v>
      </c>
    </row>
    <row r="6" spans="2:7" x14ac:dyDescent="0.25">
      <c r="B6" s="4" t="s">
        <v>6</v>
      </c>
      <c r="C6" s="5">
        <v>700</v>
      </c>
      <c r="D6" s="6"/>
      <c r="E6" s="5"/>
      <c r="F6" s="5"/>
      <c r="G6" s="20" t="s">
        <v>42</v>
      </c>
    </row>
    <row r="7" spans="2:7" x14ac:dyDescent="0.25">
      <c r="B7" s="4" t="s">
        <v>31</v>
      </c>
      <c r="C7" s="5"/>
      <c r="D7" s="6"/>
      <c r="E7" s="5"/>
      <c r="F7" s="5"/>
      <c r="G7" s="20" t="s">
        <v>38</v>
      </c>
    </row>
    <row r="8" spans="2:7" x14ac:dyDescent="0.25">
      <c r="B8" s="4" t="s">
        <v>32</v>
      </c>
      <c r="C8" s="5"/>
      <c r="D8" s="6"/>
      <c r="E8" s="5"/>
      <c r="F8" s="5"/>
      <c r="G8" s="20" t="s">
        <v>39</v>
      </c>
    </row>
    <row r="9" spans="2:7" x14ac:dyDescent="0.25">
      <c r="B9" s="4" t="s">
        <v>20</v>
      </c>
      <c r="C9" s="5"/>
      <c r="D9" s="6"/>
      <c r="E9" s="5"/>
      <c r="F9" s="5"/>
      <c r="G9" s="20" t="s">
        <v>40</v>
      </c>
    </row>
    <row r="10" spans="2:7" x14ac:dyDescent="0.25">
      <c r="B10" s="4" t="s">
        <v>19</v>
      </c>
      <c r="C10" s="5"/>
      <c r="D10" s="6"/>
      <c r="E10" s="5"/>
      <c r="F10" s="5"/>
      <c r="G10" s="20" t="s">
        <v>40</v>
      </c>
    </row>
    <row r="11" spans="2:7" x14ac:dyDescent="0.25">
      <c r="B11" s="4" t="s">
        <v>30</v>
      </c>
      <c r="C11" s="5"/>
      <c r="D11" s="6"/>
      <c r="E11" s="5"/>
      <c r="F11" s="5"/>
      <c r="G11" s="20" t="s">
        <v>41</v>
      </c>
    </row>
    <row r="12" spans="2:7" ht="15.75" thickBot="1" x14ac:dyDescent="0.3">
      <c r="B12" s="8" t="s">
        <v>33</v>
      </c>
      <c r="C12" s="9"/>
      <c r="D12" s="10"/>
      <c r="E12" s="9"/>
      <c r="F12" s="9"/>
      <c r="G12" s="18" t="s">
        <v>41</v>
      </c>
    </row>
    <row r="13" spans="2:7" x14ac:dyDescent="0.25">
      <c r="C13" s="1"/>
      <c r="D13" s="2"/>
      <c r="E13" s="1"/>
      <c r="F13" s="1"/>
    </row>
    <row r="14" spans="2:7" ht="15.75" thickBot="1" x14ac:dyDescent="0.3">
      <c r="C14" s="1"/>
      <c r="D14" s="2"/>
      <c r="E14" s="1"/>
      <c r="F14" s="1"/>
    </row>
    <row r="15" spans="2:7" ht="15.75" thickBot="1" x14ac:dyDescent="0.3">
      <c r="B15" s="55" t="s">
        <v>21</v>
      </c>
      <c r="C15" s="56"/>
      <c r="D15" s="56"/>
      <c r="E15" s="56"/>
      <c r="F15" s="56"/>
      <c r="G15" s="57"/>
    </row>
    <row r="16" spans="2:7" x14ac:dyDescent="0.25">
      <c r="B16" s="14"/>
      <c r="C16" s="12" t="s">
        <v>25</v>
      </c>
      <c r="D16" s="12" t="s">
        <v>24</v>
      </c>
      <c r="E16" s="12" t="s">
        <v>26</v>
      </c>
      <c r="F16" s="12" t="s">
        <v>27</v>
      </c>
      <c r="G16" s="13" t="s">
        <v>23</v>
      </c>
    </row>
    <row r="17" spans="2:7" x14ac:dyDescent="0.25">
      <c r="B17" s="21" t="s">
        <v>28</v>
      </c>
      <c r="C17" s="22">
        <v>45374.62</v>
      </c>
      <c r="D17" s="23" t="s">
        <v>16</v>
      </c>
      <c r="E17" s="22">
        <v>1084.31</v>
      </c>
      <c r="F17" s="23" t="s">
        <v>44</v>
      </c>
      <c r="G17" s="24" t="s">
        <v>43</v>
      </c>
    </row>
    <row r="18" spans="2:7" x14ac:dyDescent="0.25">
      <c r="B18" s="4" t="s">
        <v>29</v>
      </c>
      <c r="C18" s="5">
        <v>7330.56</v>
      </c>
      <c r="D18" s="6" t="s">
        <v>16</v>
      </c>
      <c r="E18" s="5">
        <v>76.36</v>
      </c>
      <c r="F18" s="6" t="s">
        <v>44</v>
      </c>
      <c r="G18" s="15" t="s">
        <v>43</v>
      </c>
    </row>
    <row r="19" spans="2:7" x14ac:dyDescent="0.25">
      <c r="B19" s="4" t="s">
        <v>45</v>
      </c>
      <c r="C19" s="5">
        <v>96500</v>
      </c>
      <c r="D19" s="6"/>
      <c r="E19" s="5"/>
      <c r="F19" s="5">
        <v>6500</v>
      </c>
      <c r="G19" s="7"/>
    </row>
    <row r="20" spans="2:7" x14ac:dyDescent="0.25">
      <c r="B20" s="63"/>
      <c r="C20" s="64"/>
      <c r="D20" s="64"/>
      <c r="E20" s="64"/>
      <c r="F20" s="64"/>
      <c r="G20" s="65"/>
    </row>
    <row r="21" spans="2:7" ht="15.75" thickBot="1" x14ac:dyDescent="0.3">
      <c r="B21" s="8" t="s">
        <v>14</v>
      </c>
      <c r="C21" s="9">
        <v>32000</v>
      </c>
      <c r="D21" s="10"/>
      <c r="E21" s="9"/>
      <c r="F21" s="9"/>
      <c r="G21" s="11"/>
    </row>
  </sheetData>
  <mergeCells count="3">
    <mergeCell ref="B2:G2"/>
    <mergeCell ref="B15:G15"/>
    <mergeCell ref="B20:G2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AGOSTO</vt:lpstr>
      <vt:lpstr>SETEMBRO</vt:lpstr>
      <vt:lpstr>OUTUBRO</vt:lpstr>
      <vt:lpstr>NOVEMBRO</vt:lpstr>
      <vt:lpstr>DEZEMBRO</vt:lpstr>
      <vt:lpstr>VARIÁVEIS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</dc:creator>
  <cp:lastModifiedBy>SOB</cp:lastModifiedBy>
  <dcterms:created xsi:type="dcterms:W3CDTF">2026-07-09T14:57:38Z</dcterms:created>
  <dcterms:modified xsi:type="dcterms:W3CDTF">2026-08-11T17:11:40Z</dcterms:modified>
</cp:coreProperties>
</file>